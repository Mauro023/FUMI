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8A5FA70B-FFCF-4E1A-A496-C8D94974B490}" xr6:coauthVersionLast="47" xr6:coauthVersionMax="47" xr10:uidLastSave="{00000000-0000-0000-0000-000000000000}"/>
  <bookViews>
    <workbookView xWindow="8460" yWindow="345" windowWidth="9900" windowHeight="10575" activeTab="2" xr2:uid="{C27CF2B9-A06F-4E75-BFB8-19C3CF259ECC}"/>
  </bookViews>
  <sheets>
    <sheet name="Hoja1" sheetId="1" r:id="rId1"/>
    <sheet name="Hoja2" sheetId="2" r:id="rId2"/>
    <sheet name="Hoja3" sheetId="3" r:id="rId3"/>
  </sheets>
  <functionGroups builtInGroupCount="19"/>
  <definedNames>
    <definedName name="nombre" localSheetId="1" hidden="1">Hoja2!$A$1:$B$2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E2" i="1"/>
  <c r="C3" i="1"/>
  <c r="B2" i="1"/>
  <c r="D2" i="1"/>
  <c r="D3" i="1"/>
  <c r="C2" i="1"/>
  <c r="B3" i="1"/>
  <c r="E3" i="1"/>
  <c r="J2" i="1" l="1"/>
  <c r="C2" i="3" s="1"/>
  <c r="H2" i="1"/>
  <c r="A2" i="3" s="1"/>
  <c r="I2" i="1"/>
  <c r="B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<sst xmlns="http://schemas.openxmlformats.org/spreadsheetml/2006/main" count="7" uniqueCount="7">
  <si>
    <t>nombre</t>
  </si>
  <si>
    <t>deudor</t>
  </si>
  <si>
    <t>CORREOESTUDIANTE</t>
  </si>
  <si>
    <t>CORREOTUTORLEGAL</t>
  </si>
  <si>
    <t>CORREODEUDOR</t>
  </si>
  <si>
    <t>Luisa Fernanda Ramirez Polo</t>
  </si>
  <si>
    <t>Beatriz Maria Nisperuza Pitalua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</si>
</sst>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4">
    <queryTableFields count="2">
      <queryTableField id="1" name="nombre" tableColumnId="1"/>
      <queryTableField id="3" name="deu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B2" tableType="queryTable" totalsRowShown="0">
  <autoFilter ref="A1:B2" xr:uid="{AC496324-3725-4322-BEEB-67B0F504E22C}"/>
  <tableColumns count="2">
    <tableColumn id="1" xr3:uid="{58E7BEB1-19F3-489D-B5DC-D36B1BF52425}" uniqueName="1" name="nombre" queryTableFieldId="1"/>
    <tableColumn id="2" xr3:uid="{63D5A951-1030-48AC-B7B5-7B019246781D}" uniqueName="2" name="deudor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ESTUDIANTE">
      <calculatedColumnFormula>Hoja1!H2</calculatedColumnFormula>
    </tableColumn>
    <tableColumn id="2" xr3:uid="{B28027A6-387A-4A8D-ABCE-29D5E1B3C629}" name="CORREOTUTORLEGAL">
      <calculatedColumnFormula>Hoja1!I2</calculatedColumnFormula>
    </tableColumn>
    <tableColumn id="3" xr3:uid="{B630E65F-0623-4C38-AC20-762581A1F781}" name="CORREODEUDOR">
      <calculatedColumnFormula>Hoja1!J2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J33"/>
  <sheetViews>
    <sheetView topLeftCell="J1" workbookViewId="0">
      <selection activeCell="J2" sqref="J2"/>
    </sheetView>
  </sheetViews>
  <sheetFormatPr baseColWidth="10" defaultRowHeight="15" x14ac:dyDescent="0.25"/>
  <cols>
    <col min="1" max="1" width="29.28515625" style="2" customWidth="1"/>
    <col min="2" max="2" width="12" style="2" bestFit="1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9" width="44.7109375" style="2" customWidth="1"/>
    <col min="10" max="10" width="44" style="2" customWidth="1"/>
    <col min="11" max="16384" width="11.42578125" style="2"/>
  </cols>
  <sheetData>
    <row r="2" spans="1:10" x14ac:dyDescent="0.25">
      <c r="A2" s="1" t="str">
        <f>Tabla_nombre[[#This Row],[nombre]]</f>
        <v>Luisa Fernanda Ramirez Polo</v>
      </c>
      <c r="B2" s="2" t="str">
        <f ca="1">SepararEnColumnas($A2,1," ")</f>
        <v>Luisa</v>
      </c>
      <c r="C2" s="2" t="str">
        <f ca="1">SepararEnColumnas($A2,2," ")</f>
        <v>Fernanda</v>
      </c>
      <c r="D2" s="2" t="str">
        <f ca="1">SepararEnColumnas($A2,3," ")</f>
        <v>Ramirez</v>
      </c>
      <c r="E2" s="2" t="str">
        <f ca="1">SepararEnColumnas($A2,4," ")</f>
        <v>Polo</v>
      </c>
      <c r="H2" s="2" t="str">
        <f ca="1">LOWER(CONCATENATE(B2,C2,D2, "@xgmail.com.co"))</f>
        <v>luisafernandaramirez@xgmail.com.co</v>
      </c>
      <c r="I2" s="2" t="str">
        <f ca="1">LOWER(CONCATENATE(B2,C2,D2,"tl","@xgmail.com.co"))</f>
        <v>luisafernandaramireztl@xgmail.com.co</v>
      </c>
      <c r="J2" s="2" t="str">
        <f ca="1">LOWER(CONCATENATE(B3,C3,D3,"ds","@xgmail.com.co"))</f>
        <v>beatrizmarianisperuzads@xgmail.com.co</v>
      </c>
    </row>
    <row r="3" spans="1:10" x14ac:dyDescent="0.25">
      <c r="A3" s="2" t="str">
        <f>Tabla_nombre[deudor]</f>
        <v>Beatriz Maria Nisperuza Pitalua</v>
      </c>
      <c r="B3" s="2" t="str">
        <f ca="1">SepararEnColumnas($A3,1," ")</f>
        <v>Beatriz</v>
      </c>
      <c r="C3" s="2" t="str">
        <f ca="1">SepararEnColumnas($A3,2," ")</f>
        <v>Maria</v>
      </c>
      <c r="D3" s="2" t="str">
        <f ca="1">SepararEnColumnas($A3,3," ")</f>
        <v>Nisperuza</v>
      </c>
      <c r="E3" s="2" t="str">
        <f ca="1">SepararEnColumnas($A3,4," ")</f>
        <v>Pitalua</v>
      </c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15" spans="1:10" x14ac:dyDescent="0.25">
      <c r="A15"/>
      <c r="B15"/>
      <c r="C15"/>
      <c r="D15"/>
      <c r="E15"/>
      <c r="F15"/>
      <c r="G15"/>
    </row>
    <row r="16" spans="1:10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B2"/>
  <sheetViews>
    <sheetView workbookViewId="0">
      <selection activeCell="B3" sqref="B3"/>
    </sheetView>
  </sheetViews>
  <sheetFormatPr baseColWidth="10" defaultRowHeight="15" x14ac:dyDescent="0.25"/>
  <cols>
    <col min="1" max="1" width="26.5703125" bestFit="1" customWidth="1"/>
    <col min="2" max="2" width="28.85546875" bestFit="1" customWidth="1"/>
    <col min="3" max="3" width="24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topLeftCell="B1" workbookViewId="0">
      <selection activeCell="C2" sqref="C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tr">
        <f ca="1">Hoja1!H2</f>
        <v>luisafernandaramirez@xgmail.com.co</v>
      </c>
      <c r="B2" t="str">
        <f ca="1">Hoja1!I2</f>
        <v>luisafernandaramireztl@xgmail.com.co</v>
      </c>
      <c r="C2" t="str">
        <f ca="1">Hoja1!J2</f>
        <v>beatrizmarianisperuzads@xgmail.com.co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2022-03-04T13:14:16Z</dcterms:modified>
</cp:coreProperties>
</file>